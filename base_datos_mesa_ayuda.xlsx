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280" tabRatio="500" firstSheet="0" activeTab="0" autoFilterDateGrouping="1"/>
  </bookViews>
  <sheets>
    <sheet name="Tickets" sheetId="1" state="visible" r:id="rId1"/>
    <sheet name="Usuarios" sheetId="2" state="visible" r:id="rId2"/>
    <sheet name="BaseConocimiento" sheetId="3" state="visible" r:id="rId3"/>
    <sheet name="Resumen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charset val="1"/>
      <b val="1"/>
      <color rgb="FFFFFFFF"/>
      <sz val="11"/>
    </font>
    <font>
      <name val="Arial"/>
      <charset val="1"/>
      <sz val="10"/>
    </font>
    <font>
      <name val="Arial"/>
      <charset val="1"/>
      <b val="1"/>
      <color rgb="FF1F4E78"/>
      <sz val="14"/>
    </font>
    <font>
      <name val="Arial"/>
      <charset val="1"/>
      <b val="1"/>
      <sz val="10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tabSelected="1" zoomScaleNormal="100" workbookViewId="0">
      <pane ySplit="1" topLeftCell="A2" activePane="bottomLeft" state="frozen"/>
      <selection pane="bottomLeft" activeCell="A8" sqref="A8:J14"/>
    </sheetView>
  </sheetViews>
  <sheetFormatPr baseColWidth="10" defaultColWidth="8.7109375" defaultRowHeight="15"/>
  <cols>
    <col width="10" customWidth="1" style="7" min="1" max="1"/>
    <col width="12" customWidth="1" style="7" min="2" max="2"/>
    <col width="9" customWidth="1" style="7" min="3" max="3"/>
    <col width="16" customWidth="1" style="7" min="4" max="4"/>
    <col width="10" customWidth="1" style="7" min="5" max="5"/>
    <col width="11" customWidth="1" style="7" min="6" max="6"/>
    <col width="30" customWidth="1" style="7" min="7" max="7"/>
    <col width="9" customWidth="1" style="7" min="8" max="8"/>
    <col width="13" customWidth="1" style="7" min="9" max="10"/>
  </cols>
  <sheetData>
    <row r="1" ht="26.85" customHeight="1" s="7">
      <c r="A1" s="1" t="inlineStr">
        <is>
          <t>id_ticket</t>
        </is>
      </c>
      <c r="B1" s="1" t="inlineStr">
        <is>
          <t>fecha</t>
        </is>
      </c>
      <c r="C1" s="1" t="inlineStr">
        <is>
          <t>legajo</t>
        </is>
      </c>
      <c r="D1" s="1" t="inlineStr">
        <is>
          <t>nombre</t>
        </is>
      </c>
      <c r="E1" s="1" t="inlineStr">
        <is>
          <t>area</t>
        </is>
      </c>
      <c r="F1" s="1" t="inlineStr">
        <is>
          <t>categoria</t>
        </is>
      </c>
      <c r="G1" s="1" t="inlineStr">
        <is>
          <t>descripcion</t>
        </is>
      </c>
      <c r="H1" s="1" t="inlineStr">
        <is>
          <t>prioridad</t>
        </is>
      </c>
      <c r="I1" s="1" t="inlineStr">
        <is>
          <t>estado</t>
        </is>
      </c>
      <c r="J1" s="1" t="inlineStr">
        <is>
          <t>fecha_cierre</t>
        </is>
      </c>
    </row>
    <row r="2" ht="15" customHeight="1" s="7">
      <c r="A2" s="2" t="inlineStr">
        <is>
          <t>T-1001</t>
        </is>
      </c>
      <c r="B2" s="2" t="inlineStr">
        <is>
          <t>2026-06-10</t>
        </is>
      </c>
      <c r="C2" s="2" t="n">
        <v>4521</v>
      </c>
      <c r="D2" s="3" t="inlineStr">
        <is>
          <t>Marcos Díaz</t>
        </is>
      </c>
      <c r="E2" s="3" t="inlineStr">
        <is>
          <t>Ventas</t>
        </is>
      </c>
      <c r="F2" s="3" t="inlineStr">
        <is>
          <t>Software</t>
        </is>
      </c>
      <c r="G2" s="3" t="inlineStr">
        <is>
          <t>No abre el ERP</t>
        </is>
      </c>
      <c r="H2" s="2" t="inlineStr">
        <is>
          <t>Media</t>
        </is>
      </c>
      <c r="I2" s="2" t="inlineStr">
        <is>
          <t>Resuelto</t>
        </is>
      </c>
      <c r="J2" s="2" t="inlineStr">
        <is>
          <t>2026-06-10</t>
        </is>
      </c>
    </row>
    <row r="3" ht="15" customHeight="1" s="7">
      <c r="A3" s="2" t="inlineStr">
        <is>
          <t>T-1002</t>
        </is>
      </c>
      <c r="B3" s="2" t="inlineStr">
        <is>
          <t>2026-06-11</t>
        </is>
      </c>
      <c r="C3" s="2" t="n">
        <v>3310</v>
      </c>
      <c r="D3" s="3" t="inlineStr">
        <is>
          <t>Lucía Pérez</t>
        </is>
      </c>
      <c r="E3" s="3" t="inlineStr">
        <is>
          <t>RRHH</t>
        </is>
      </c>
      <c r="F3" s="3" t="inlineStr">
        <is>
          <t>Hardware</t>
        </is>
      </c>
      <c r="G3" s="3" t="inlineStr">
        <is>
          <t>Notebook no enciende</t>
        </is>
      </c>
      <c r="H3" s="2" t="inlineStr">
        <is>
          <t>Alta</t>
        </is>
      </c>
      <c r="I3" s="2" t="inlineStr">
        <is>
          <t>Derivado N2</t>
        </is>
      </c>
      <c r="J3" s="2" t="n"/>
    </row>
    <row r="4" ht="15" customHeight="1" s="7">
      <c r="A4" s="2" t="inlineStr">
        <is>
          <t>T-1003</t>
        </is>
      </c>
      <c r="B4" s="2" t="inlineStr">
        <is>
          <t>2026-06-12</t>
        </is>
      </c>
      <c r="C4" s="2" t="n">
        <v>5102</v>
      </c>
      <c r="D4" s="3" t="inlineStr">
        <is>
          <t>Juan Roldán</t>
        </is>
      </c>
      <c r="E4" s="3" t="inlineStr">
        <is>
          <t>IT</t>
        </is>
      </c>
      <c r="F4" s="3" t="inlineStr">
        <is>
          <t>Red</t>
        </is>
      </c>
      <c r="G4" s="3" t="inlineStr">
        <is>
          <t>Sin acceso a wifi corporativo</t>
        </is>
      </c>
      <c r="H4" s="2" t="inlineStr">
        <is>
          <t>Media</t>
        </is>
      </c>
      <c r="I4" s="2" t="inlineStr">
        <is>
          <t>En proceso</t>
        </is>
      </c>
      <c r="J4" s="2" t="n"/>
    </row>
    <row r="5" ht="15" customHeight="1" s="7">
      <c r="A5" s="2" t="inlineStr">
        <is>
          <t>T-1004</t>
        </is>
      </c>
      <c r="B5" s="2" t="inlineStr">
        <is>
          <t>2026-06-12</t>
        </is>
      </c>
      <c r="C5" s="2" t="n">
        <v>4521</v>
      </c>
      <c r="D5" s="3" t="inlineStr">
        <is>
          <t>Marcos Díaz</t>
        </is>
      </c>
      <c r="E5" s="3" t="inlineStr">
        <is>
          <t>Ventas</t>
        </is>
      </c>
      <c r="F5" s="3" t="inlineStr">
        <is>
          <t>Software</t>
        </is>
      </c>
      <c r="G5" s="3" t="inlineStr">
        <is>
          <t>Olvidó la contraseña</t>
        </is>
      </c>
      <c r="H5" s="2" t="inlineStr">
        <is>
          <t>Baja</t>
        </is>
      </c>
      <c r="I5" s="2" t="inlineStr">
        <is>
          <t>Resuelto</t>
        </is>
      </c>
      <c r="J5" s="2" t="inlineStr">
        <is>
          <t>2026-06-12</t>
        </is>
      </c>
    </row>
    <row r="6" ht="15" customHeight="1" s="7">
      <c r="A6" s="2" t="inlineStr">
        <is>
          <t>T-1005</t>
        </is>
      </c>
      <c r="B6" s="2" t="inlineStr">
        <is>
          <t>2026-06-13</t>
        </is>
      </c>
      <c r="C6" s="2" t="n">
        <v>2980</v>
      </c>
      <c r="D6" s="3" t="inlineStr">
        <is>
          <t>Carla Núñez</t>
        </is>
      </c>
      <c r="E6" s="3" t="inlineStr">
        <is>
          <t>Finanzas</t>
        </is>
      </c>
      <c r="F6" s="3" t="inlineStr">
        <is>
          <t>Hardware</t>
        </is>
      </c>
      <c r="G6" s="3" t="inlineStr">
        <is>
          <t>Mouse no responde</t>
        </is>
      </c>
      <c r="H6" s="2" t="inlineStr">
        <is>
          <t>Baja</t>
        </is>
      </c>
      <c r="I6" s="2" t="inlineStr">
        <is>
          <t>Pendiente</t>
        </is>
      </c>
      <c r="J6" s="2" t="n"/>
    </row>
    <row r="7" ht="15" customHeight="1" s="7">
      <c r="A7" s="2" t="inlineStr">
        <is>
          <t>T-1006</t>
        </is>
      </c>
      <c r="B7" s="2" t="inlineStr">
        <is>
          <t>2026-06-13</t>
        </is>
      </c>
      <c r="C7" s="2" t="n">
        <v>3310</v>
      </c>
      <c r="D7" s="3" t="inlineStr">
        <is>
          <t>Lucía Pérez</t>
        </is>
      </c>
      <c r="E7" s="3" t="inlineStr">
        <is>
          <t>RRHH</t>
        </is>
      </c>
      <c r="F7" s="3" t="inlineStr">
        <is>
          <t>Software</t>
        </is>
      </c>
      <c r="G7" s="3" t="inlineStr">
        <is>
          <t>No puede abrir el ERP tras reinicio</t>
        </is>
      </c>
      <c r="H7" s="2" t="inlineStr">
        <is>
          <t>Media</t>
        </is>
      </c>
      <c r="I7" s="2" t="inlineStr">
        <is>
          <t>Derivado N2</t>
        </is>
      </c>
      <c r="J7" s="2" t="n"/>
    </row>
    <row r="8">
      <c r="A8" t="inlineStr">
        <is>
          <t>T-1007</t>
        </is>
      </c>
      <c r="B8" t="inlineStr">
        <is>
          <t>2026-06-18 21:06:28</t>
        </is>
      </c>
      <c r="C8" t="n">
        <v>4521</v>
      </c>
      <c r="D8" t="inlineStr">
        <is>
          <t>Marcos Díaz</t>
        </is>
      </c>
      <c r="E8" t="inlineStr">
        <is>
          <t>Ventas</t>
        </is>
      </c>
      <c r="F8" t="inlineStr">
        <is>
          <t>Hardware</t>
        </is>
      </c>
      <c r="G8" t="inlineStr">
        <is>
          <t>No me funciona el Mouse</t>
        </is>
      </c>
      <c r="H8" t="inlineStr">
        <is>
          <t>Alta</t>
        </is>
      </c>
      <c r="I8" t="inlineStr">
        <is>
          <t>Derivado N2</t>
        </is>
      </c>
      <c r="J8" t="inlineStr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10" defaultColWidth="8.7109375" defaultRowHeight="15"/>
  <cols>
    <col width="9" customWidth="1" style="7" min="1" max="1"/>
    <col width="18" customWidth="1" style="7" min="2" max="2"/>
    <col width="12" customWidth="1" style="7" min="3" max="3"/>
    <col width="24" customWidth="1" style="7" min="4" max="4"/>
  </cols>
  <sheetData>
    <row r="1" ht="15" customHeight="1" s="7">
      <c r="A1" s="1" t="inlineStr">
        <is>
          <t>legajo</t>
        </is>
      </c>
      <c r="B1" s="1" t="inlineStr">
        <is>
          <t>nombre</t>
        </is>
      </c>
      <c r="C1" s="1" t="inlineStr">
        <is>
          <t>area</t>
        </is>
      </c>
      <c r="D1" s="1" t="inlineStr">
        <is>
          <t>email</t>
        </is>
      </c>
    </row>
    <row r="2" ht="15" customHeight="1" s="7">
      <c r="A2" s="2" t="n">
        <v>4521</v>
      </c>
      <c r="B2" s="2" t="inlineStr">
        <is>
          <t>Marcos Díaz</t>
        </is>
      </c>
      <c r="C2" s="2" t="inlineStr">
        <is>
          <t>Ventas</t>
        </is>
      </c>
      <c r="D2" s="3" t="inlineStr">
        <is>
          <t>mdiaz@empresa.com</t>
        </is>
      </c>
    </row>
    <row r="3" ht="15" customHeight="1" s="7">
      <c r="A3" s="2" t="n">
        <v>3310</v>
      </c>
      <c r="B3" s="2" t="inlineStr">
        <is>
          <t>Lucía Pérez</t>
        </is>
      </c>
      <c r="C3" s="2" t="inlineStr">
        <is>
          <t>RRHH</t>
        </is>
      </c>
      <c r="D3" s="3" t="inlineStr">
        <is>
          <t>lperez@empresa.com</t>
        </is>
      </c>
    </row>
    <row r="4" ht="15" customHeight="1" s="7">
      <c r="A4" s="2" t="n">
        <v>5102</v>
      </c>
      <c r="B4" s="2" t="inlineStr">
        <is>
          <t>Juan Roldán</t>
        </is>
      </c>
      <c r="C4" s="2" t="inlineStr">
        <is>
          <t>IT</t>
        </is>
      </c>
      <c r="D4" s="3" t="inlineStr">
        <is>
          <t>jroldan@empresa.com</t>
        </is>
      </c>
    </row>
    <row r="5" ht="15" customHeight="1" s="7">
      <c r="A5" s="2" t="n">
        <v>2980</v>
      </c>
      <c r="B5" s="2" t="inlineStr">
        <is>
          <t>Carla Núñez</t>
        </is>
      </c>
      <c r="C5" s="2" t="inlineStr">
        <is>
          <t>Finanzas</t>
        </is>
      </c>
      <c r="D5" s="3" t="inlineStr">
        <is>
          <t>cnunez@empresa.com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10" defaultColWidth="8.7109375" defaultRowHeight="15"/>
  <cols>
    <col width="12" customWidth="1" style="7" min="1" max="2"/>
    <col width="22" customWidth="1" style="7" min="3" max="3"/>
    <col width="45" customWidth="1" style="7" min="4" max="4"/>
  </cols>
  <sheetData>
    <row r="1" ht="26.85" customHeight="1" s="7">
      <c r="A1" s="1" t="inlineStr">
        <is>
          <t>id_solucion</t>
        </is>
      </c>
      <c r="B1" s="1" t="inlineStr">
        <is>
          <t>categoria</t>
        </is>
      </c>
      <c r="C1" s="1" t="inlineStr">
        <is>
          <t>palabra_clave</t>
        </is>
      </c>
      <c r="D1" s="1" t="inlineStr">
        <is>
          <t>solucion_texto</t>
        </is>
      </c>
    </row>
    <row r="2" ht="15" customHeight="1" s="7">
      <c r="A2" s="2" t="inlineStr">
        <is>
          <t>S-01</t>
        </is>
      </c>
      <c r="B2" s="2" t="inlineStr">
        <is>
          <t>Software</t>
        </is>
      </c>
      <c r="C2" s="2" t="inlineStr">
        <is>
          <t>contraseña, login</t>
        </is>
      </c>
      <c r="D2" s="3" t="inlineStr">
        <is>
          <t>Reiniciá tu clave desde portal.empresa.com/reset</t>
        </is>
      </c>
    </row>
    <row r="3" ht="23.85" customHeight="1" s="7">
      <c r="A3" s="2" t="inlineStr">
        <is>
          <t>S-02</t>
        </is>
      </c>
      <c r="B3" s="2" t="inlineStr">
        <is>
          <t>Software</t>
        </is>
      </c>
      <c r="C3" s="2" t="inlineStr">
        <is>
          <t>erp, no abre</t>
        </is>
      </c>
      <c r="D3" s="3" t="inlineStr">
        <is>
          <t>Cerrá sesión y volvé a entrar; si persiste, reiniciá el equipo</t>
        </is>
      </c>
    </row>
    <row r="4" ht="23.85" customHeight="1" s="7">
      <c r="A4" s="2" t="inlineStr">
        <is>
          <t>S-03</t>
        </is>
      </c>
      <c r="B4" s="2" t="inlineStr">
        <is>
          <t>Red</t>
        </is>
      </c>
      <c r="C4" s="2" t="inlineStr">
        <is>
          <t>wifi, no conecta</t>
        </is>
      </c>
      <c r="D4" s="3" t="inlineStr">
        <is>
          <t>Olvidá la red y reconectate con la clave del cartel de tu piso</t>
        </is>
      </c>
    </row>
    <row r="5" ht="15" customHeight="1" s="7">
      <c r="A5" s="2" t="inlineStr">
        <is>
          <t>S-04</t>
        </is>
      </c>
      <c r="B5" s="2" t="inlineStr">
        <is>
          <t>Hardware</t>
        </is>
      </c>
      <c r="C5" s="2" t="inlineStr">
        <is>
          <t>mouse, no responde</t>
        </is>
      </c>
      <c r="D5" s="3" t="inlineStr">
        <is>
          <t>Probá otro puerto USB; si persiste, se deriva a Nivel 2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zoomScaleNormal="100" workbookViewId="0">
      <selection activeCell="A1" sqref="A1"/>
    </sheetView>
  </sheetViews>
  <sheetFormatPr baseColWidth="10" defaultColWidth="8.7109375" defaultRowHeight="15"/>
  <cols>
    <col width="20" customWidth="1" style="7" min="1" max="2"/>
  </cols>
  <sheetData>
    <row r="1" ht="17.45" customHeight="1" s="7">
      <c r="A1" s="6" t="inlineStr">
        <is>
          <t>Resumen de Mesa de Ayuda Técnica</t>
        </is>
      </c>
    </row>
    <row r="3" ht="15" customHeight="1" s="7">
      <c r="A3" s="1" t="inlineStr">
        <is>
          <t>Estado</t>
        </is>
      </c>
      <c r="B3" s="1" t="inlineStr">
        <is>
          <t>Cantidad de tickets</t>
        </is>
      </c>
    </row>
    <row r="4" ht="15" customHeight="1" s="7">
      <c r="A4" s="3" t="inlineStr">
        <is>
          <t>Pendiente</t>
        </is>
      </c>
      <c r="B4" s="2">
        <f>COUNTIF(Tickets!I:I,A4)</f>
        <v/>
      </c>
    </row>
    <row r="5" ht="15" customHeight="1" s="7">
      <c r="A5" s="3" t="inlineStr">
        <is>
          <t>En proceso</t>
        </is>
      </c>
      <c r="B5" s="2">
        <f>COUNTIF(Tickets!I:I,A5)</f>
        <v/>
      </c>
    </row>
    <row r="6" ht="15" customHeight="1" s="7">
      <c r="A6" s="3" t="inlineStr">
        <is>
          <t>Resuelto</t>
        </is>
      </c>
      <c r="B6" s="2">
        <f>COUNTIF(Tickets!I:I,A6)</f>
        <v/>
      </c>
    </row>
    <row r="7" ht="15" customHeight="1" s="7">
      <c r="A7" s="3" t="inlineStr">
        <is>
          <t>Derivado N2</t>
        </is>
      </c>
      <c r="B7" s="2">
        <f>COUNTIF(Tickets!I:I,A7)</f>
        <v/>
      </c>
    </row>
    <row r="8" ht="15" customHeight="1" s="7">
      <c r="A8" s="4" t="inlineStr">
        <is>
          <t>Total de tickets</t>
        </is>
      </c>
      <c r="B8" s="5">
        <f>COUNTA(Tickets!A2:A1000)</f>
        <v/>
      </c>
    </row>
  </sheetData>
  <mergeCells count="1">
    <mergeCell ref="A1:B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2026-06-18T01:50:26Z</dcterms:created>
  <dcterms:modified xsi:type="dcterms:W3CDTF">2026-06-19T00:06:28Z</dcterms:modified>
  <cp:lastModifiedBy>Agustín Fernández</cp:lastModifiedBy>
  <cp:revision>0</cp:revision>
</cp:coreProperties>
</file>